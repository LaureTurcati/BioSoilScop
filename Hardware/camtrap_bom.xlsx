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\Desktop\camtrap\"/>
    </mc:Choice>
  </mc:AlternateContent>
  <xr:revisionPtr revIDLastSave="0" documentId="13_ncr:1_{9E9380A9-C1F8-4A1C-928B-6A374AE47789}" xr6:coauthVersionLast="47" xr6:coauthVersionMax="47" xr10:uidLastSave="{00000000-0000-0000-0000-000000000000}"/>
  <bookViews>
    <workbookView xWindow="1470" yWindow="540" windowWidth="25425" windowHeight="12735" xr2:uid="{F96E8D09-0F8B-40DE-838B-23F0EEB70D7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" i="1" l="1"/>
  <c r="E52" i="1"/>
  <c r="E51" i="1"/>
  <c r="E50" i="1"/>
  <c r="E49" i="1"/>
  <c r="E48" i="1"/>
  <c r="E47" i="1"/>
  <c r="E22" i="1"/>
  <c r="E46" i="1"/>
  <c r="E45" i="1"/>
  <c r="E44" i="1"/>
  <c r="E43" i="1"/>
  <c r="E42" i="1"/>
  <c r="E41" i="1"/>
  <c r="E40" i="1"/>
  <c r="E39" i="1"/>
  <c r="E37" i="1"/>
  <c r="E36" i="1"/>
  <c r="C4" i="1"/>
  <c r="E14" i="1"/>
  <c r="E13" i="1"/>
  <c r="E20" i="1"/>
  <c r="E32" i="1"/>
  <c r="E12" i="1"/>
  <c r="E8" i="1"/>
  <c r="E26" i="1"/>
  <c r="E25" i="1"/>
  <c r="E16" i="1"/>
  <c r="E31" i="1"/>
  <c r="E18" i="1"/>
  <c r="E19" i="1"/>
  <c r="E21" i="1"/>
  <c r="E23" i="1"/>
  <c r="E24" i="1"/>
  <c r="E28" i="1"/>
  <c r="E29" i="1"/>
  <c r="E27" i="1"/>
  <c r="E30" i="1"/>
  <c r="E17" i="1"/>
  <c r="E33" i="1"/>
  <c r="E34" i="1"/>
  <c r="E35" i="1"/>
  <c r="E15" i="1"/>
  <c r="E11" i="1"/>
  <c r="E10" i="1"/>
  <c r="E9" i="1"/>
  <c r="E7" i="1"/>
</calcChain>
</file>

<file path=xl/sharedStrings.xml><?xml version="1.0" encoding="utf-8"?>
<sst xmlns="http://schemas.openxmlformats.org/spreadsheetml/2006/main" count="96" uniqueCount="91">
  <si>
    <t>pièce</t>
  </si>
  <si>
    <t>CamTrap BOM</t>
  </si>
  <si>
    <t>quantité</t>
  </si>
  <si>
    <t>prix unitaire HT</t>
  </si>
  <si>
    <t>total</t>
  </si>
  <si>
    <t>lien</t>
  </si>
  <si>
    <t>raspberry pi 3 b+</t>
  </si>
  <si>
    <t>total HT</t>
  </si>
  <si>
    <t>https://www.mouser.fr/ProductDetail/Raspberry-Pi/SC0073?qs=T%252BzbugeAwjiaAHAA%2F5Vfqw%3D%3D</t>
  </si>
  <si>
    <t>https://www.mouser.fr/ProductDetail/Raspberry-Pi/SC0875?qs=rQFj71Wb1eXfj0QIwylxWA%3D%3D</t>
  </si>
  <si>
    <t>Camera Module 3 Wide NoIR</t>
  </si>
  <si>
    <t>cable cam 20 cm</t>
  </si>
  <si>
    <t>https://www.mouser.fr/ProductDetail/Adafruit/1647?qs=GURawfaeGuCW4KvAYeV3HA%3D%3D</t>
  </si>
  <si>
    <t>https://www.mouser.fr/ProductDetail/Wurth-Elektronik/61304021821?qs=bZr6mbWTK5mzEvTTGhcEyQ%3D%3D</t>
  </si>
  <si>
    <t>embase raspi</t>
  </si>
  <si>
    <t>https://www.mouser.fr/ProductDetail/Hammond-Manufacturing/1556HABK?qs=9vOqFld9vZVfzVecj7IRHA%3D%3D</t>
  </si>
  <si>
    <t>boitier</t>
  </si>
  <si>
    <t>LED couleur 5mm</t>
  </si>
  <si>
    <t>perles de ferrite</t>
  </si>
  <si>
    <t>convertisseur analogique/ numérique</t>
  </si>
  <si>
    <t>carte mémoire sd 64 Go</t>
  </si>
  <si>
    <t>interrupteur</t>
  </si>
  <si>
    <t xml:space="preserve">Photo resistance </t>
  </si>
  <si>
    <t>condensateur chimique radial 220uF</t>
  </si>
  <si>
    <t>transistor / mosfet</t>
  </si>
  <si>
    <t>résistance 0805 10 Mohms</t>
  </si>
  <si>
    <t>résistance 0805 500ohms</t>
  </si>
  <si>
    <t>résistance 0805 220ohms</t>
  </si>
  <si>
    <t>résistance 0805 10kohms</t>
  </si>
  <si>
    <t>https://www.mouser.fr/ProductDetail/Bourns/SMBJ5.0CA-QH?qs=T94vaHKWudQPoV6jAiwvcA%3D%3D</t>
  </si>
  <si>
    <t>Diodes de protection ESD</t>
  </si>
  <si>
    <t>https://www.mouser.fr/ProductDetail/Amphenol-FCI/87520-3010ALF?qs=7JiUwvV4mh74F4buwfJ9pg%3D%3D</t>
  </si>
  <si>
    <t>connecteur usb</t>
  </si>
  <si>
    <t>condensateur 0805 1uF</t>
  </si>
  <si>
    <t>condensateur 0805 100nF</t>
  </si>
  <si>
    <t>condensateur 0805 1nF</t>
  </si>
  <si>
    <t xml:space="preserve">LED IR </t>
  </si>
  <si>
    <t>bornier a vis  2 fils</t>
  </si>
  <si>
    <t>connecteur usb ext</t>
  </si>
  <si>
    <t>https://www.mouser.fr/ProductDetail/Amphenol-LTW/UA-20PMFP-SC8001?qs=BoMHE3Ae0lIld8j0pv3esA%3D%3D</t>
  </si>
  <si>
    <t>capuchon usb</t>
  </si>
  <si>
    <t>https://www.mouser.fr/ProductDetail/Amphenol-LTW/CAP-WACMSPC1?qs=BoMHE3Ae0lKpEj6M%252B9qeqg%3D%3D</t>
  </si>
  <si>
    <t>https://www.mouser.fr/ProductDetail/Vishay-Semiconductors/TSHG6400?qs=%2Fjqivxn91cceX9ZJxmpVCg%3D%3D</t>
  </si>
  <si>
    <t>https://www.mouser.fr/ProductDetail/VCC/LTH5MM12VFR4700?qs=Mv7BduZupUimo5j%2F%2F8f9GQ%3D%3D</t>
  </si>
  <si>
    <t>PCB led</t>
  </si>
  <si>
    <t>https://www.mouser.fr/ProductDetail/Advanced-Photonix/PDV-P9002?qs=Znm5pLBrcAKw1XlQvWclLA%3D%3D</t>
  </si>
  <si>
    <t>https://www.mouser.fr/ProductDetail/Diodes-Incorporated/FZT851TA?qs=GBLSl2AkiruTgIwj6EDEdg%3D%3D   (stock Summit)</t>
  </si>
  <si>
    <t>https://www.mouser.fr/ProductDetail/Texas-Instruments/ADS1115BQDGSRQ1?qs=34RfhUjJmKdvyLrkbnfjHA%3D%3D</t>
  </si>
  <si>
    <t>https://www.mouser.fr/ProductDetail/TDK/MMZ2012Y152BT000?qs=8Kz9Wu9QwqVvXiEqkHUJng%3D%3D</t>
  </si>
  <si>
    <t>pied base</t>
  </si>
  <si>
    <t>impression 3d</t>
  </si>
  <si>
    <t>support cam</t>
  </si>
  <si>
    <t>support photo resistance</t>
  </si>
  <si>
    <t>base plexi</t>
  </si>
  <si>
    <t>achat + decoupe laser</t>
  </si>
  <si>
    <t>protection lentille</t>
  </si>
  <si>
    <t>vis m2 6mm</t>
  </si>
  <si>
    <t>vis m4 10mm</t>
  </si>
  <si>
    <t>barette male sequable 20p</t>
  </si>
  <si>
    <t>https://www.mouser.fr/ProductDetail/Molex/22-28-4205?qs=GAPJcf4kvdu9BJmr7VZajQ%3D%3D</t>
  </si>
  <si>
    <t>PCB main</t>
  </si>
  <si>
    <t>https://www.mouser.fr/ProductDetail/KYOCERA-AVX/KAF21KR71E105KU?qs=Jm2GQyTW%2FbhAALIO%2FNIvrg%3D%3D</t>
  </si>
  <si>
    <t>barette female sequable 20p</t>
  </si>
  <si>
    <t>https://www.mouser.fr/ProductDetail/3M-Electronic-Solutions-Division/929850-01-20-RB?qs=URHRBhDURP%252B6wJ%252Bfq%252BX6nw%3D%3D</t>
  </si>
  <si>
    <t>https://www.mouser.fr/ProductDetail/KYOCERA-AVX/KAM21BR72A102KT?qs=OcgtsXO%252B3gszwOFfUTiZ5g%3D%3D</t>
  </si>
  <si>
    <t>https://www.mouser.fr/ProductDetail/KYOCERA-AVX/KAF21KR72A104KL?qs=Jm2GQyTW%2FbiUCISqVwD%2FLA%3D%3D</t>
  </si>
  <si>
    <t>https://www.mouser.fr/ProductDetail/Lelon/RGA221M1EBK-0811G?qs=sGAEpiMZZMvwFf0viD3Y3ZPeeWspSkPKVhdOCUVyC%252Bs%3D</t>
  </si>
  <si>
    <t>https://www.mouser.fr/ProductDetail/ROHM-Semiconductor/KTR10EZPJ511?qs=sGAEpiMZZMtlubZbdhIBIGrVcSH3vih4%2FaGsT3%252Bf6n0%3D</t>
  </si>
  <si>
    <t>résistance 0805 LEDS (270)</t>
  </si>
  <si>
    <t>https://www.mouser.fr/ProductDetail/Panasonic/ERJ-P06F2200V?qs=sGAEpiMZZMtlubZbdhIBIK7FbVYKWV6WTePHHp8Hhqc%3D</t>
  </si>
  <si>
    <t>https://www.mouser.fr/ProductDetail/KOA-Speer/RK73H2ARTTD2700F?qs=x6vGwhDZZUZfxlwKGsDIrQ%3D%3D</t>
  </si>
  <si>
    <t>https://www.mouser.fr/ProductDetail/Vishay-Dale/RCC080510K0FKEA?qs=GedFDFLaBXGY93oge9hajw%3D%3D</t>
  </si>
  <si>
    <t>https://www.mouser.fr/ProductDetail/Vishay-Dale/RCC080510M0FKEA?qs=GedFDFLaBXHfedqBQ1aJCw%3D%3D</t>
  </si>
  <si>
    <t>https://www.mouser.fr/ProductDetail/Carling-Technologies/62115919-0-9-V?qs=5ruQBStH4q%252BWcJ7h%252BdaK5g%3D%3D</t>
  </si>
  <si>
    <t>https://www.mouser.fr/ProductDetail/Kingston/SDCS2-64GBCA?qs=HFfMDpzxxd1VtEC8LIlGIg%3D%3D</t>
  </si>
  <si>
    <t>vis m3 10mm + ecrou</t>
  </si>
  <si>
    <t>standoffs m2,5x11</t>
  </si>
  <si>
    <t>https://www.mouser.fr/ProductDetail/Wurth-Elektronik/971200151?qs=wr8lucFkNMVDo43Tg45BvQ%3D%3D</t>
  </si>
  <si>
    <t>standoffs m2,5x20</t>
  </si>
  <si>
    <t>vis m2,5x6</t>
  </si>
  <si>
    <t>https://www.mouser.fr/ProductDetail/Wurth-Elektronik/971110154?qs=%252BEew9%252B0nqrBAT23nBefr%252Bg%3D%3D</t>
  </si>
  <si>
    <t>option</t>
  </si>
  <si>
    <t>batterie 5v</t>
  </si>
  <si>
    <t>https://fr.rs-online.com/web/p/batteries-externes/2309827?gb=s</t>
  </si>
  <si>
    <t>cable ext usb dupont</t>
  </si>
  <si>
    <t>https://fr.aliexpress.com/item/1005004266229641.html?src=google</t>
  </si>
  <si>
    <t>https://www.mouser.fr/ProductDetail/Phoenix-Contact/1548128?qs=ulEaXIWI0c87QOzP9yohxA%3D%3D</t>
  </si>
  <si>
    <t>Colonne1</t>
  </si>
  <si>
    <t>https://fr.rs-online.com/web/p/cables-usb/8418743</t>
  </si>
  <si>
    <t>?</t>
  </si>
  <si>
    <t>PCB adapteur usb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</si>
</sst>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2"/>
    <xf numFmtId="44" fontId="0" fillId="0" borderId="0" xfId="1" applyFont="1" applyAlignment="1"/>
    <xf numFmtId="0" fontId="0" fillId="2" borderId="0" xfId="0" applyFill="1"/>
    <xf numFmtId="0" fontId="2" fillId="2" borderId="0" xfId="2" applyFill="1"/>
  </cellXfs>
  <cellStyles count="3">
    <cellStyle name="Lien hypertexte" xfId="2" builtinId="8"/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CD3035-F13C-4128-8401-814260343C68}" name="Tableau2" displayName="Tableau2" ref="B6:G53" totalsRowShown="0">
  <autoFilter ref="B6:G53" xr:uid="{C3CD3035-F13C-4128-8401-814260343C68}"/>
  <tableColumns count="6">
    <tableColumn id="1" xr3:uid="{FF7FD3CE-0BD1-4D34-A0B7-494429109844}" name="pièce"/>
    <tableColumn id="2" xr3:uid="{E8DD87F8-C90B-4244-B191-36817D77DC27}" name="quantité"/>
    <tableColumn id="3" xr3:uid="{74574901-15E0-433A-A604-816CA6B33E79}" name="prix unitaire HT"/>
    <tableColumn id="4" xr3:uid="{6770BC5A-076C-4F40-8C9B-3A33A54E2153}" name="total HT">
      <calculatedColumnFormula>D7*C7</calculatedColumnFormula>
    </tableColumn>
    <tableColumn id="5" xr3:uid="{773D4494-14D6-46C3-BFA6-8EB11F5A84E4}" name="lien" dataCellStyle="Lien hypertexte"/>
    <tableColumn id="6" xr3:uid="{7B1724D8-A3E2-4FDE-818F-AD394FA53314}" name="Colonne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ouser.fr/ProductDetail/Raspberry-Pi/SC0875?qs=rQFj71Wb1eXfj0QIwylxWA%3D%3D" TargetMode="External"/><Relationship Id="rId18" Type="http://schemas.openxmlformats.org/officeDocument/2006/relationships/hyperlink" Target="https://www.mouser.fr/ProductDetail/ROHM-Semiconductor/KTR10EZPJ511?qs=sGAEpiMZZMtlubZbdhIBIGrVcSH3vih4%2FaGsT3%252Bf6n0%3D" TargetMode="External"/><Relationship Id="rId26" Type="http://schemas.openxmlformats.org/officeDocument/2006/relationships/hyperlink" Target="https://www.mouser.fr/ProductDetail/Lelon/RGA221M1EBK-0811G?qs=sGAEpiMZZMvwFf0viD3Y3ZPeeWspSkPKVhdOCUVyC%252Bs%3D" TargetMode="External"/><Relationship Id="rId3" Type="http://schemas.openxmlformats.org/officeDocument/2006/relationships/hyperlink" Target="https://www.mouser.fr/ProductDetail/Vishay-Semiconductors/TSHG6400?qs=%2Fjqivxn91cceX9ZJxmpVCg%3D%3D" TargetMode="External"/><Relationship Id="rId21" Type="http://schemas.openxmlformats.org/officeDocument/2006/relationships/hyperlink" Target="https://www.mouser.fr/ProductDetail/Vishay-Dale/RCC080510K0FKEA?qs=GedFDFLaBXGY93oge9hajw%3D%3D" TargetMode="External"/><Relationship Id="rId7" Type="http://schemas.openxmlformats.org/officeDocument/2006/relationships/hyperlink" Target="https://www.mouser.fr/ProductDetail/TDK/MMZ2012Y152BT000?qs=8Kz9Wu9QwqVvXiEqkHUJng%3D%3D" TargetMode="External"/><Relationship Id="rId12" Type="http://schemas.openxmlformats.org/officeDocument/2006/relationships/hyperlink" Target="https://www.mouser.fr/ProductDetail/Adafruit/1647?qs=GURawfaeGuCW4KvAYeV3HA%3D%3D" TargetMode="External"/><Relationship Id="rId17" Type="http://schemas.openxmlformats.org/officeDocument/2006/relationships/hyperlink" Target="https://www.mouser.fr/ProductDetail/Hammond-Manufacturing/1556HABK?qs=9vOqFld9vZVfzVecj7IRHA%3D%3D" TargetMode="External"/><Relationship Id="rId25" Type="http://schemas.openxmlformats.org/officeDocument/2006/relationships/hyperlink" Target="https://www.mouser.fr/ProductDetail/KYOCERA-AVX/KAM21BR72A102KT?qs=OcgtsXO%252B3gszwOFfUTiZ5g%3D%3D" TargetMode="External"/><Relationship Id="rId33" Type="http://schemas.openxmlformats.org/officeDocument/2006/relationships/table" Target="../tables/table1.xml"/><Relationship Id="rId2" Type="http://schemas.openxmlformats.org/officeDocument/2006/relationships/hyperlink" Target="https://www.mouser.fr/ProductDetail/Bourns/SMBJ5.0CA-QH?qs=T94vaHKWudQPoV6jAiwvcA%3D%3D" TargetMode="External"/><Relationship Id="rId16" Type="http://schemas.openxmlformats.org/officeDocument/2006/relationships/hyperlink" Target="https://www.mouser.fr/ProductDetail/Amphenol-LTW/CAP-WACMSPC1?qs=BoMHE3Ae0lKpEj6M%252B9qeqg%3D%3D" TargetMode="External"/><Relationship Id="rId20" Type="http://schemas.openxmlformats.org/officeDocument/2006/relationships/hyperlink" Target="https://www.mouser.fr/ProductDetail/Panasonic/ERJ-P06F2200V?qs=sGAEpiMZZMtlubZbdhIBIK7FbVYKWV6WTePHHp8Hhqc%3D" TargetMode="External"/><Relationship Id="rId29" Type="http://schemas.openxmlformats.org/officeDocument/2006/relationships/hyperlink" Target="https://www.mouser.fr/ProductDetail/VCC/LTH5MM12VFR4700?qs=Mv7BduZupUimo5j%2F%2F8f9GQ%3D%3D" TargetMode="External"/><Relationship Id="rId1" Type="http://schemas.openxmlformats.org/officeDocument/2006/relationships/hyperlink" Target="https://www.mouser.fr/ProductDetail/Raspberry-Pi/SC0073?qs=T%252BzbugeAwjiaAHAA%2F5Vfqw%3D%3D" TargetMode="External"/><Relationship Id="rId6" Type="http://schemas.openxmlformats.org/officeDocument/2006/relationships/hyperlink" Target="https://www.mouser.fr/ProductDetail/Texas-Instruments/ADS1115BQDGSRQ1?qs=34RfhUjJmKdvyLrkbnfjHA%3D%3D" TargetMode="External"/><Relationship Id="rId11" Type="http://schemas.openxmlformats.org/officeDocument/2006/relationships/hyperlink" Target="https://www.mouser.fr/ProductDetail/Kingston/SDCS2-64GBCA?qs=HFfMDpzxxd1VtEC8LIlGIg%3D%3D" TargetMode="External"/><Relationship Id="rId24" Type="http://schemas.openxmlformats.org/officeDocument/2006/relationships/hyperlink" Target="https://www.mouser.fr/ProductDetail/3M-Electronic-Solutions-Division/929850-01-20-RB?qs=URHRBhDURP%252B6wJ%252Bfq%252BX6nw%3D%3D" TargetMode="External"/><Relationship Id="rId32" Type="http://schemas.openxmlformats.org/officeDocument/2006/relationships/hyperlink" Target="https://fr.aliexpress.com/item/1005004266229641.html?src=google" TargetMode="External"/><Relationship Id="rId5" Type="http://schemas.openxmlformats.org/officeDocument/2006/relationships/hyperlink" Target="https://www.mouser.fr/ProductDetail/Diodes-Incorporated/FZT851TA?qs=GBLSl2AkiruTgIwj6EDEdg%3D%3D%20%20%20(stock%20Summit)" TargetMode="External"/><Relationship Id="rId15" Type="http://schemas.openxmlformats.org/officeDocument/2006/relationships/hyperlink" Target="https://www.mouser.fr/ProductDetail/Amphenol-LTW/UA-20PMFP-SC8001?qs=BoMHE3Ae0lIld8j0pv3esA%3D%3D" TargetMode="External"/><Relationship Id="rId23" Type="http://schemas.openxmlformats.org/officeDocument/2006/relationships/hyperlink" Target="https://www.mouser.fr/ProductDetail/Molex/22-28-4205?qs=GAPJcf4kvdu9BJmr7VZajQ%3D%3D" TargetMode="External"/><Relationship Id="rId28" Type="http://schemas.openxmlformats.org/officeDocument/2006/relationships/hyperlink" Target="https://www.mouser.fr/ProductDetail/Wurth-Elektronik/971110154?qs=%252BEew9%252B0nqrBAT23nBefr%252Bg%3D%3D" TargetMode="External"/><Relationship Id="rId10" Type="http://schemas.openxmlformats.org/officeDocument/2006/relationships/hyperlink" Target="https://www.mouser.fr/ProductDetail/Carling-Technologies/62115919-0-9-V?qs=5ruQBStH4q%252BWcJ7h%252BdaK5g%3D%3D" TargetMode="External"/><Relationship Id="rId19" Type="http://schemas.openxmlformats.org/officeDocument/2006/relationships/hyperlink" Target="https://www.mouser.fr/ProductDetail/Vishay-Dale/RCC080510M0FKEA?qs=GedFDFLaBXHfedqBQ1aJCw%3D%3D" TargetMode="External"/><Relationship Id="rId31" Type="http://schemas.openxmlformats.org/officeDocument/2006/relationships/hyperlink" Target="https://fr.rs-online.com/web/p/cables-usb/8418743" TargetMode="External"/><Relationship Id="rId4" Type="http://schemas.openxmlformats.org/officeDocument/2006/relationships/hyperlink" Target="https://www.mouser.fr/ProductDetail/Advanced-Photonix/PDV-P9002?qs=Znm5pLBrcAKw1XlQvWclLA%3D%3D" TargetMode="External"/><Relationship Id="rId9" Type="http://schemas.openxmlformats.org/officeDocument/2006/relationships/hyperlink" Target="https://www.mouser.fr/ProductDetail/KYOCERA-AVX/KAF21KR72A104KL?qs=Jm2GQyTW%2FbiUCISqVwD%2FLA%3D%3D" TargetMode="External"/><Relationship Id="rId14" Type="http://schemas.openxmlformats.org/officeDocument/2006/relationships/hyperlink" Target="https://www.mouser.fr/ProductDetail/Wurth-Elektronik/61304021821?qs=bZr6mbWTK5mzEvTTGhcEyQ%3D%3D" TargetMode="External"/><Relationship Id="rId22" Type="http://schemas.openxmlformats.org/officeDocument/2006/relationships/hyperlink" Target="https://www.mouser.fr/ProductDetail/KOA-Speer/RK73H2ARTTD2700F?qs=x6vGwhDZZUZfxlwKGsDIrQ%3D%3D" TargetMode="External"/><Relationship Id="rId27" Type="http://schemas.openxmlformats.org/officeDocument/2006/relationships/hyperlink" Target="https://www.mouser.fr/ProductDetail/Amphenol-FCI/87520-3010ALF?qs=7JiUwvV4mh74F4buwfJ9pg%3D%3D" TargetMode="External"/><Relationship Id="rId30" Type="http://schemas.openxmlformats.org/officeDocument/2006/relationships/hyperlink" Target="https://www.mouser.fr/ProductDetail/Wurth-Elektronik/971200151?qs=wr8lucFkNMVDo43Tg45BvQ%3D%3D" TargetMode="External"/><Relationship Id="rId8" Type="http://schemas.openxmlformats.org/officeDocument/2006/relationships/hyperlink" Target="https://www.mouser.fr/ProductDetail/KYOCERA-AVX/KAF21KR71E105KU?qs=Jm2GQyTW%2FbhAALIO%2FNIvr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C86D-F6F6-499B-A181-E253AB47893D}">
  <dimension ref="A3:G53"/>
  <sheetViews>
    <sheetView tabSelected="1" topLeftCell="A32" workbookViewId="0">
      <selection activeCell="D56" sqref="D56"/>
    </sheetView>
  </sheetViews>
  <sheetFormatPr baseColWidth="10" defaultRowHeight="15" x14ac:dyDescent="0.25"/>
  <cols>
    <col min="2" max="2" width="34.42578125" customWidth="1"/>
    <col min="3" max="3" width="11.140625" customWidth="1"/>
    <col min="4" max="4" width="16.7109375" customWidth="1"/>
    <col min="6" max="6" width="139.28515625" customWidth="1"/>
  </cols>
  <sheetData>
    <row r="3" spans="2:7" x14ac:dyDescent="0.25">
      <c r="B3" t="s">
        <v>1</v>
      </c>
    </row>
    <row r="4" spans="2:7" x14ac:dyDescent="0.25">
      <c r="B4" t="s">
        <v>4</v>
      </c>
      <c r="C4" s="2">
        <f>SUM(D7:D57)</f>
        <v>284.38100000000003</v>
      </c>
    </row>
    <row r="6" spans="2:7" x14ac:dyDescent="0.25">
      <c r="B6" t="s">
        <v>0</v>
      </c>
      <c r="C6" t="s">
        <v>2</v>
      </c>
      <c r="D6" t="s">
        <v>3</v>
      </c>
      <c r="E6" t="s">
        <v>7</v>
      </c>
      <c r="F6" t="s">
        <v>5</v>
      </c>
      <c r="G6" t="s">
        <v>87</v>
      </c>
    </row>
    <row r="7" spans="2:7" x14ac:dyDescent="0.25">
      <c r="B7" t="s">
        <v>6</v>
      </c>
      <c r="C7">
        <v>1</v>
      </c>
      <c r="D7">
        <v>33.549999999999997</v>
      </c>
      <c r="E7">
        <f t="shared" ref="E7:E15" si="0">D7*C7</f>
        <v>33.549999999999997</v>
      </c>
      <c r="F7" s="1" t="s">
        <v>8</v>
      </c>
    </row>
    <row r="8" spans="2:7" x14ac:dyDescent="0.25">
      <c r="B8" t="s">
        <v>20</v>
      </c>
      <c r="C8">
        <v>1</v>
      </c>
      <c r="D8">
        <v>11.42</v>
      </c>
      <c r="E8">
        <f t="shared" si="0"/>
        <v>11.42</v>
      </c>
      <c r="F8" s="1" t="s">
        <v>74</v>
      </c>
    </row>
    <row r="9" spans="2:7" x14ac:dyDescent="0.25">
      <c r="B9" t="s">
        <v>10</v>
      </c>
      <c r="C9">
        <v>1</v>
      </c>
      <c r="D9">
        <v>32.549999999999997</v>
      </c>
      <c r="E9">
        <f t="shared" si="0"/>
        <v>32.549999999999997</v>
      </c>
      <c r="F9" s="1" t="s">
        <v>9</v>
      </c>
    </row>
    <row r="10" spans="2:7" x14ac:dyDescent="0.25">
      <c r="B10" t="s">
        <v>11</v>
      </c>
      <c r="C10">
        <v>1</v>
      </c>
      <c r="D10">
        <v>1.81</v>
      </c>
      <c r="E10">
        <f t="shared" si="0"/>
        <v>1.81</v>
      </c>
      <c r="F10" s="1" t="s">
        <v>12</v>
      </c>
    </row>
    <row r="11" spans="2:7" x14ac:dyDescent="0.25">
      <c r="B11" t="s">
        <v>14</v>
      </c>
      <c r="C11">
        <v>1</v>
      </c>
      <c r="D11">
        <v>1.82</v>
      </c>
      <c r="E11">
        <f t="shared" si="0"/>
        <v>1.82</v>
      </c>
      <c r="F11" s="1" t="s">
        <v>13</v>
      </c>
    </row>
    <row r="12" spans="2:7" x14ac:dyDescent="0.25">
      <c r="B12" t="s">
        <v>21</v>
      </c>
      <c r="C12">
        <v>2</v>
      </c>
      <c r="D12">
        <v>2.25</v>
      </c>
      <c r="E12">
        <f t="shared" si="0"/>
        <v>4.5</v>
      </c>
      <c r="F12" s="1" t="s">
        <v>73</v>
      </c>
    </row>
    <row r="13" spans="2:7" x14ac:dyDescent="0.25">
      <c r="B13" t="s">
        <v>38</v>
      </c>
      <c r="C13">
        <v>1</v>
      </c>
      <c r="D13">
        <v>7.31</v>
      </c>
      <c r="E13">
        <f t="shared" si="0"/>
        <v>7.31</v>
      </c>
      <c r="F13" s="1" t="s">
        <v>39</v>
      </c>
    </row>
    <row r="14" spans="2:7" x14ac:dyDescent="0.25">
      <c r="B14" t="s">
        <v>40</v>
      </c>
      <c r="C14">
        <v>1</v>
      </c>
      <c r="D14">
        <v>2.35</v>
      </c>
      <c r="E14">
        <f t="shared" si="0"/>
        <v>2.35</v>
      </c>
      <c r="F14" s="1" t="s">
        <v>41</v>
      </c>
    </row>
    <row r="15" spans="2:7" x14ac:dyDescent="0.25">
      <c r="B15" t="s">
        <v>16</v>
      </c>
      <c r="C15">
        <v>1</v>
      </c>
      <c r="D15">
        <v>18.510000000000002</v>
      </c>
      <c r="E15">
        <f t="shared" si="0"/>
        <v>18.510000000000002</v>
      </c>
      <c r="F15" s="1" t="s">
        <v>15</v>
      </c>
    </row>
    <row r="16" spans="2:7" x14ac:dyDescent="0.25">
      <c r="B16" t="s">
        <v>26</v>
      </c>
      <c r="C16">
        <v>1</v>
      </c>
      <c r="D16">
        <v>0.15</v>
      </c>
      <c r="E16">
        <f t="shared" ref="E16:E35" si="1">D16*C16</f>
        <v>0.15</v>
      </c>
      <c r="F16" s="1" t="s">
        <v>67</v>
      </c>
    </row>
    <row r="17" spans="2:6" x14ac:dyDescent="0.25">
      <c r="B17" t="s">
        <v>25</v>
      </c>
      <c r="C17">
        <v>1</v>
      </c>
      <c r="D17">
        <v>0.19</v>
      </c>
      <c r="E17">
        <f>D17*C17</f>
        <v>0.19</v>
      </c>
      <c r="F17" s="1" t="s">
        <v>72</v>
      </c>
    </row>
    <row r="18" spans="2:6" x14ac:dyDescent="0.25">
      <c r="B18" t="s">
        <v>27</v>
      </c>
      <c r="C18">
        <v>1</v>
      </c>
      <c r="D18">
        <v>0.2</v>
      </c>
      <c r="E18">
        <f t="shared" si="1"/>
        <v>0.2</v>
      </c>
      <c r="F18" s="1" t="s">
        <v>69</v>
      </c>
    </row>
    <row r="19" spans="2:6" x14ac:dyDescent="0.25">
      <c r="B19" t="s">
        <v>28</v>
      </c>
      <c r="C19">
        <v>5</v>
      </c>
      <c r="D19">
        <v>0.13</v>
      </c>
      <c r="E19">
        <f t="shared" si="1"/>
        <v>0.65</v>
      </c>
      <c r="F19" s="1" t="s">
        <v>71</v>
      </c>
    </row>
    <row r="20" spans="2:6" x14ac:dyDescent="0.25">
      <c r="B20" t="s">
        <v>68</v>
      </c>
      <c r="C20">
        <v>8</v>
      </c>
      <c r="D20">
        <v>0.2</v>
      </c>
      <c r="E20">
        <f>D20*C20</f>
        <v>1.6</v>
      </c>
      <c r="F20" s="1" t="s">
        <v>70</v>
      </c>
    </row>
    <row r="21" spans="2:6" x14ac:dyDescent="0.25">
      <c r="B21" t="s">
        <v>58</v>
      </c>
      <c r="C21">
        <v>1</v>
      </c>
      <c r="D21">
        <v>0.8</v>
      </c>
      <c r="E21">
        <f t="shared" si="1"/>
        <v>0.8</v>
      </c>
      <c r="F21" s="1" t="s">
        <v>59</v>
      </c>
    </row>
    <row r="22" spans="2:6" x14ac:dyDescent="0.25">
      <c r="B22" t="s">
        <v>62</v>
      </c>
      <c r="C22">
        <v>1</v>
      </c>
      <c r="D22">
        <v>2.65</v>
      </c>
      <c r="E22">
        <f>D22*C22</f>
        <v>2.65</v>
      </c>
      <c r="F22" s="1" t="s">
        <v>63</v>
      </c>
    </row>
    <row r="23" spans="2:6" x14ac:dyDescent="0.25">
      <c r="B23" t="s">
        <v>22</v>
      </c>
      <c r="C23">
        <v>1</v>
      </c>
      <c r="D23">
        <v>1.73</v>
      </c>
      <c r="E23">
        <f t="shared" si="1"/>
        <v>1.73</v>
      </c>
      <c r="F23" s="1" t="s">
        <v>45</v>
      </c>
    </row>
    <row r="24" spans="2:6" x14ac:dyDescent="0.25">
      <c r="B24" t="s">
        <v>33</v>
      </c>
      <c r="C24">
        <v>2</v>
      </c>
      <c r="D24">
        <v>0.78</v>
      </c>
      <c r="E24">
        <f t="shared" si="1"/>
        <v>1.56</v>
      </c>
      <c r="F24" s="1" t="s">
        <v>61</v>
      </c>
    </row>
    <row r="25" spans="2:6" x14ac:dyDescent="0.25">
      <c r="B25" t="s">
        <v>35</v>
      </c>
      <c r="C25">
        <v>1</v>
      </c>
      <c r="D25">
        <v>0.24</v>
      </c>
      <c r="E25">
        <f>D25*C25</f>
        <v>0.24</v>
      </c>
      <c r="F25" s="1" t="s">
        <v>64</v>
      </c>
    </row>
    <row r="26" spans="2:6" x14ac:dyDescent="0.25">
      <c r="B26" t="s">
        <v>34</v>
      </c>
      <c r="C26">
        <v>1</v>
      </c>
      <c r="D26">
        <v>0.37</v>
      </c>
      <c r="E26">
        <f>D26*C26</f>
        <v>0.37</v>
      </c>
      <c r="F26" s="1" t="s">
        <v>65</v>
      </c>
    </row>
    <row r="27" spans="2:6" x14ac:dyDescent="0.25">
      <c r="B27" t="s">
        <v>23</v>
      </c>
      <c r="C27">
        <v>1</v>
      </c>
      <c r="D27">
        <v>0.2</v>
      </c>
      <c r="E27">
        <f>D27*C27</f>
        <v>0.2</v>
      </c>
      <c r="F27" s="1" t="s">
        <v>66</v>
      </c>
    </row>
    <row r="28" spans="2:6" x14ac:dyDescent="0.25">
      <c r="B28" t="s">
        <v>18</v>
      </c>
      <c r="C28">
        <v>2</v>
      </c>
      <c r="D28">
        <v>0.1</v>
      </c>
      <c r="E28">
        <f t="shared" si="1"/>
        <v>0.2</v>
      </c>
      <c r="F28" s="1" t="s">
        <v>48</v>
      </c>
    </row>
    <row r="29" spans="2:6" x14ac:dyDescent="0.25">
      <c r="B29" t="s">
        <v>19</v>
      </c>
      <c r="C29">
        <v>1</v>
      </c>
      <c r="D29">
        <v>5.77</v>
      </c>
      <c r="E29">
        <f t="shared" si="1"/>
        <v>5.77</v>
      </c>
      <c r="F29" s="1" t="s">
        <v>47</v>
      </c>
    </row>
    <row r="30" spans="2:6" x14ac:dyDescent="0.25">
      <c r="B30" t="s">
        <v>24</v>
      </c>
      <c r="C30">
        <v>1</v>
      </c>
      <c r="D30">
        <v>0.59</v>
      </c>
      <c r="E30">
        <f t="shared" si="1"/>
        <v>0.59</v>
      </c>
      <c r="F30" s="1" t="s">
        <v>46</v>
      </c>
    </row>
    <row r="31" spans="2:6" x14ac:dyDescent="0.25">
      <c r="B31" t="s">
        <v>17</v>
      </c>
      <c r="C31">
        <v>1</v>
      </c>
      <c r="D31">
        <v>0.7</v>
      </c>
      <c r="E31">
        <f>D31*C31</f>
        <v>0.7</v>
      </c>
      <c r="F31" s="1" t="s">
        <v>43</v>
      </c>
    </row>
    <row r="32" spans="2:6" x14ac:dyDescent="0.25">
      <c r="B32" t="s">
        <v>36</v>
      </c>
      <c r="C32">
        <v>8</v>
      </c>
      <c r="D32">
        <v>1.31</v>
      </c>
      <c r="E32">
        <f>D32*C32</f>
        <v>10.48</v>
      </c>
      <c r="F32" s="1" t="s">
        <v>42</v>
      </c>
    </row>
    <row r="33" spans="1:6" x14ac:dyDescent="0.25">
      <c r="B33" t="s">
        <v>30</v>
      </c>
      <c r="C33">
        <v>1</v>
      </c>
      <c r="D33">
        <v>0.316</v>
      </c>
      <c r="E33">
        <f t="shared" si="1"/>
        <v>0.316</v>
      </c>
      <c r="F33" s="1" t="s">
        <v>29</v>
      </c>
    </row>
    <row r="34" spans="1:6" x14ac:dyDescent="0.25">
      <c r="B34" t="s">
        <v>32</v>
      </c>
      <c r="C34">
        <v>1</v>
      </c>
      <c r="D34">
        <v>0.86499999999999999</v>
      </c>
      <c r="E34">
        <f t="shared" si="1"/>
        <v>0.86499999999999999</v>
      </c>
      <c r="F34" s="1" t="s">
        <v>31</v>
      </c>
    </row>
    <row r="35" spans="1:6" x14ac:dyDescent="0.25">
      <c r="B35" t="s">
        <v>37</v>
      </c>
      <c r="C35">
        <v>6</v>
      </c>
      <c r="D35">
        <v>0.99</v>
      </c>
      <c r="E35">
        <f t="shared" si="1"/>
        <v>5.9399999999999995</v>
      </c>
      <c r="F35" s="1" t="s">
        <v>86</v>
      </c>
    </row>
    <row r="36" spans="1:6" x14ac:dyDescent="0.25">
      <c r="B36" s="3" t="s">
        <v>44</v>
      </c>
      <c r="C36" s="3">
        <v>2</v>
      </c>
      <c r="D36" s="3">
        <v>20</v>
      </c>
      <c r="E36" s="3">
        <f t="shared" ref="E36:E49" si="2">D36*C36</f>
        <v>40</v>
      </c>
      <c r="F36" s="4"/>
    </row>
    <row r="37" spans="1:6" x14ac:dyDescent="0.25">
      <c r="B37" s="3" t="s">
        <v>60</v>
      </c>
      <c r="C37" s="3">
        <v>1</v>
      </c>
      <c r="D37" s="3">
        <v>40</v>
      </c>
      <c r="E37" s="3">
        <f t="shared" si="2"/>
        <v>40</v>
      </c>
      <c r="F37" s="4"/>
    </row>
    <row r="38" spans="1:6" x14ac:dyDescent="0.25">
      <c r="A38" t="s">
        <v>81</v>
      </c>
      <c r="B38" s="3" t="s">
        <v>90</v>
      </c>
      <c r="C38" s="3">
        <v>1</v>
      </c>
      <c r="D38" s="3">
        <v>0</v>
      </c>
      <c r="E38" s="3">
        <f>D38*C38</f>
        <v>0</v>
      </c>
      <c r="F38" s="4"/>
    </row>
    <row r="39" spans="1:6" x14ac:dyDescent="0.25">
      <c r="B39" s="3" t="s">
        <v>49</v>
      </c>
      <c r="C39" s="3">
        <v>4</v>
      </c>
      <c r="D39" s="3">
        <v>2</v>
      </c>
      <c r="E39" s="3">
        <f t="shared" si="2"/>
        <v>8</v>
      </c>
      <c r="F39" s="4" t="s">
        <v>50</v>
      </c>
    </row>
    <row r="40" spans="1:6" x14ac:dyDescent="0.25">
      <c r="B40" s="3" t="s">
        <v>51</v>
      </c>
      <c r="C40" s="3">
        <v>1</v>
      </c>
      <c r="D40" s="3">
        <v>1</v>
      </c>
      <c r="E40" s="3">
        <f t="shared" si="2"/>
        <v>1</v>
      </c>
      <c r="F40" s="4" t="s">
        <v>50</v>
      </c>
    </row>
    <row r="41" spans="1:6" x14ac:dyDescent="0.25">
      <c r="B41" s="3" t="s">
        <v>52</v>
      </c>
      <c r="C41" s="3">
        <v>1</v>
      </c>
      <c r="D41" s="3">
        <v>1</v>
      </c>
      <c r="E41" s="3">
        <f t="shared" si="2"/>
        <v>1</v>
      </c>
      <c r="F41" s="4" t="s">
        <v>50</v>
      </c>
    </row>
    <row r="42" spans="1:6" x14ac:dyDescent="0.25">
      <c r="B42" s="3" t="s">
        <v>53</v>
      </c>
      <c r="C42" s="3">
        <v>1</v>
      </c>
      <c r="D42" s="3">
        <v>20</v>
      </c>
      <c r="E42" s="3">
        <f t="shared" si="2"/>
        <v>20</v>
      </c>
      <c r="F42" s="4" t="s">
        <v>54</v>
      </c>
    </row>
    <row r="43" spans="1:6" x14ac:dyDescent="0.25">
      <c r="B43" s="3" t="s">
        <v>55</v>
      </c>
      <c r="C43" s="3">
        <v>1</v>
      </c>
      <c r="D43" s="3">
        <v>5</v>
      </c>
      <c r="E43" s="3">
        <f t="shared" si="2"/>
        <v>5</v>
      </c>
      <c r="F43" s="4" t="s">
        <v>54</v>
      </c>
    </row>
    <row r="44" spans="1:6" x14ac:dyDescent="0.25">
      <c r="B44" s="3" t="s">
        <v>56</v>
      </c>
      <c r="C44" s="3">
        <v>8</v>
      </c>
      <c r="D44" s="3">
        <v>0</v>
      </c>
      <c r="E44" s="3">
        <f t="shared" si="2"/>
        <v>0</v>
      </c>
      <c r="F44" s="4"/>
    </row>
    <row r="45" spans="1:6" x14ac:dyDescent="0.25">
      <c r="B45" s="3" t="s">
        <v>75</v>
      </c>
      <c r="C45" s="3">
        <v>4</v>
      </c>
      <c r="D45" s="3">
        <v>0</v>
      </c>
      <c r="E45" s="3">
        <f t="shared" si="2"/>
        <v>0</v>
      </c>
      <c r="F45" s="4"/>
    </row>
    <row r="46" spans="1:6" x14ac:dyDescent="0.25">
      <c r="B46" s="3" t="s">
        <v>57</v>
      </c>
      <c r="C46" s="3">
        <v>4</v>
      </c>
      <c r="D46" s="3">
        <v>0</v>
      </c>
      <c r="E46" s="3">
        <f t="shared" si="2"/>
        <v>0</v>
      </c>
      <c r="F46" s="4"/>
    </row>
    <row r="47" spans="1:6" x14ac:dyDescent="0.25">
      <c r="B47" t="s">
        <v>76</v>
      </c>
      <c r="C47">
        <v>4</v>
      </c>
      <c r="D47">
        <v>0.9</v>
      </c>
      <c r="E47">
        <f t="shared" si="2"/>
        <v>3.6</v>
      </c>
      <c r="F47" s="1" t="s">
        <v>80</v>
      </c>
    </row>
    <row r="48" spans="1:6" x14ac:dyDescent="0.25">
      <c r="B48" t="s">
        <v>78</v>
      </c>
      <c r="C48">
        <v>4</v>
      </c>
      <c r="D48">
        <v>0.63</v>
      </c>
      <c r="E48">
        <f t="shared" si="2"/>
        <v>2.52</v>
      </c>
      <c r="F48" s="1" t="s">
        <v>77</v>
      </c>
    </row>
    <row r="49" spans="1:7" x14ac:dyDescent="0.25">
      <c r="B49" t="s">
        <v>79</v>
      </c>
      <c r="C49">
        <v>8</v>
      </c>
      <c r="D49">
        <v>0</v>
      </c>
      <c r="E49">
        <f t="shared" si="2"/>
        <v>0</v>
      </c>
      <c r="F49" s="1"/>
    </row>
    <row r="50" spans="1:7" x14ac:dyDescent="0.25">
      <c r="A50" t="s">
        <v>81</v>
      </c>
      <c r="B50" t="s">
        <v>82</v>
      </c>
      <c r="C50">
        <v>1</v>
      </c>
      <c r="D50">
        <v>64</v>
      </c>
      <c r="E50">
        <f>D50*C50</f>
        <v>64</v>
      </c>
      <c r="F50" s="1" t="s">
        <v>83</v>
      </c>
    </row>
    <row r="51" spans="1:7" x14ac:dyDescent="0.25">
      <c r="A51" t="s">
        <v>81</v>
      </c>
      <c r="B51" t="s">
        <v>84</v>
      </c>
      <c r="C51">
        <v>1</v>
      </c>
      <c r="D51">
        <v>0</v>
      </c>
      <c r="E51">
        <f>D51*C51</f>
        <v>0</v>
      </c>
      <c r="F51" s="1" t="s">
        <v>88</v>
      </c>
      <c r="G51" t="s">
        <v>89</v>
      </c>
    </row>
    <row r="52" spans="1:7" x14ac:dyDescent="0.25">
      <c r="E52">
        <f>D52*C52</f>
        <v>0</v>
      </c>
      <c r="F52" s="1" t="s">
        <v>85</v>
      </c>
    </row>
    <row r="53" spans="1:7" x14ac:dyDescent="0.25">
      <c r="F53" s="1"/>
    </row>
  </sheetData>
  <hyperlinks>
    <hyperlink ref="F7" r:id="rId1" xr:uid="{6CD956DB-5ED1-46C6-AE00-457EEC4FF004}"/>
    <hyperlink ref="F33" r:id="rId2" xr:uid="{C9661853-A2B7-4340-AA06-8CACD55C7CB7}"/>
    <hyperlink ref="F32" r:id="rId3" xr:uid="{AFA80B2E-9F3A-4E64-ACBD-6D77F5A31ECE}"/>
    <hyperlink ref="F23" r:id="rId4" xr:uid="{FB3070CB-000B-4B97-96A1-E008678E3A02}"/>
    <hyperlink ref="F30" r:id="rId5" xr:uid="{9540C499-4B04-47BF-BADB-7C7ABD7AA6E5}"/>
    <hyperlink ref="F29" r:id="rId6" xr:uid="{C99EAF03-66B6-472C-B126-2FC16631DC08}"/>
    <hyperlink ref="F28" r:id="rId7" xr:uid="{0C3BCD06-FC91-49DB-A312-2081C1033663}"/>
    <hyperlink ref="F24" r:id="rId8" xr:uid="{D0FB1490-CBAA-4208-936E-CAA4C3A928D3}"/>
    <hyperlink ref="F26" r:id="rId9" xr:uid="{65F963CA-F696-4BD9-8524-5BC5205DE56C}"/>
    <hyperlink ref="F12" r:id="rId10" xr:uid="{4A172144-05D2-4B29-A4A3-CEFEA1737624}"/>
    <hyperlink ref="F8" r:id="rId11" xr:uid="{58D93053-4652-4103-8944-EBF1A04E489C}"/>
    <hyperlink ref="F10" r:id="rId12" xr:uid="{443A52E4-B34F-47CA-A6E1-FB49CF48BFA3}"/>
    <hyperlink ref="F9" r:id="rId13" xr:uid="{0D018301-8B13-4698-B062-009F3FA5414E}"/>
    <hyperlink ref="F11" r:id="rId14" xr:uid="{D9CDB85A-BD58-4CE5-9E76-D20E497A0788}"/>
    <hyperlink ref="F13" r:id="rId15" xr:uid="{E82EF123-E0BE-437F-B7A3-8C15DB15DE6E}"/>
    <hyperlink ref="F14" r:id="rId16" xr:uid="{1615EAAC-A22F-4367-A2A3-E7E6D79C0925}"/>
    <hyperlink ref="F15" r:id="rId17" xr:uid="{ED0FB7C5-89AF-4536-AED8-993DB628C614}"/>
    <hyperlink ref="F16" r:id="rId18" xr:uid="{8584CD4B-5400-4C0D-8E02-8EB12F1F440D}"/>
    <hyperlink ref="F17" r:id="rId19" xr:uid="{2CC17A42-088F-488C-B030-DEAA27FA65C1}"/>
    <hyperlink ref="F18" r:id="rId20" xr:uid="{60D2B639-9158-4C4D-B6D9-F1D86645C214}"/>
    <hyperlink ref="F19" r:id="rId21" xr:uid="{8B4DAB36-5352-4679-9E8D-2C9ED73B3D6D}"/>
    <hyperlink ref="F20" r:id="rId22" xr:uid="{990B7CA1-6F50-4CD2-9F25-30A6A5C64C05}"/>
    <hyperlink ref="F21" r:id="rId23" xr:uid="{0164D6A7-F119-43C4-896D-8F8A6C046185}"/>
    <hyperlink ref="F22" r:id="rId24" xr:uid="{A6B8C1CF-D831-477D-A908-583B45E591DB}"/>
    <hyperlink ref="F25" r:id="rId25" xr:uid="{4FE40370-BA83-4FC4-B6F3-8850B3C8FBF1}"/>
    <hyperlink ref="F27" r:id="rId26" xr:uid="{EE6A30D5-E653-467E-AAC6-2F1C344B9C1D}"/>
    <hyperlink ref="F34" r:id="rId27" xr:uid="{0E6BC469-F14A-4120-A6E1-47EF13580D56}"/>
    <hyperlink ref="F47" r:id="rId28" xr:uid="{7D198A49-E5B1-40EB-9D39-08D984AAD2CD}"/>
    <hyperlink ref="F31" r:id="rId29" xr:uid="{138DE5B3-DE86-4941-8BEC-ADC9D7494282}"/>
    <hyperlink ref="F48" r:id="rId30" xr:uid="{4EC42561-8356-4557-BE5B-B5E615E54148}"/>
    <hyperlink ref="F51" r:id="rId31" xr:uid="{F6FF849B-0BD9-45F5-A323-9511E89F87DC}"/>
    <hyperlink ref="F52" r:id="rId32" xr:uid="{487B7100-F1D5-4FE8-B9E4-DBBEBBFF431C}"/>
  </hyperlinks>
  <pageMargins left="0.7" right="0.7" top="0.75" bottom="0.75" header="0.3" footer="0.3"/>
  <tableParts count="1">
    <tablePart r:id="rId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</dc:creator>
  <cp:lastModifiedBy>alexandre</cp:lastModifiedBy>
  <dcterms:created xsi:type="dcterms:W3CDTF">2024-10-08T08:49:07Z</dcterms:created>
  <dcterms:modified xsi:type="dcterms:W3CDTF">2025-01-23T12:59:43Z</dcterms:modified>
</cp:coreProperties>
</file>